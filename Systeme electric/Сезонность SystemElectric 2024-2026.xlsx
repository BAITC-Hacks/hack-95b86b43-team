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ack\hack-95b86b43-team\Systeme electric\"/>
    </mc:Choice>
  </mc:AlternateContent>
  <xr:revisionPtr revIDLastSave="0" documentId="13_ncr:1_{C7E7CEFE-84D2-41EF-94E1-46E0630B453D}" xr6:coauthVersionLast="47" xr6:coauthVersionMax="47" xr10:uidLastSave="{00000000-0000-0000-0000-000000000000}"/>
  <bookViews>
    <workbookView xWindow="1044" yWindow="1044" windowWidth="17280" windowHeight="10500" xr2:uid="{C20A6AEE-0A31-41C9-B10A-E7030CB8D49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 a="1"/>
  <c r="I22" i="1" s="1"/>
  <c r="F22" i="1" a="1"/>
  <c r="F22" i="1" s="1"/>
  <c r="C22" i="1" a="1"/>
  <c r="C22" i="1" s="1"/>
  <c r="B22" i="1"/>
  <c r="B22" i="1" a="1"/>
  <c r="I21" i="1" a="1"/>
  <c r="I21" i="1" s="1"/>
  <c r="F21" i="1" a="1"/>
  <c r="F21" i="1" s="1"/>
  <c r="C21" i="1"/>
  <c r="E21" i="1" s="1"/>
  <c r="C21" i="1" a="1"/>
  <c r="B21" i="1" a="1"/>
  <c r="B21" i="1" s="1"/>
  <c r="I20" i="1" a="1"/>
  <c r="I20" i="1" s="1"/>
  <c r="F20" i="1" a="1"/>
  <c r="F20" i="1" s="1"/>
  <c r="C20" i="1" a="1"/>
  <c r="C20" i="1" s="1"/>
  <c r="B20" i="1"/>
  <c r="B20" i="1" a="1"/>
  <c r="I19" i="1" a="1"/>
  <c r="I19" i="1" s="1"/>
  <c r="F19" i="1" a="1"/>
  <c r="F19" i="1" s="1"/>
  <c r="C19" i="1"/>
  <c r="E19" i="1" s="1"/>
  <c r="C19" i="1" a="1"/>
  <c r="B19" i="1" a="1"/>
  <c r="B19" i="1" s="1"/>
  <c r="I18" i="1" a="1"/>
  <c r="I18" i="1" s="1"/>
  <c r="F18" i="1" a="1"/>
  <c r="F18" i="1" s="1"/>
  <c r="C18" i="1" a="1"/>
  <c r="C18" i="1" s="1"/>
  <c r="B18" i="1"/>
  <c r="B18" i="1" a="1"/>
  <c r="I17" i="1" a="1"/>
  <c r="I17" i="1" s="1"/>
  <c r="F17" i="1" a="1"/>
  <c r="F17" i="1" s="1"/>
  <c r="C17" i="1"/>
  <c r="E17" i="1" s="1"/>
  <c r="C17" i="1" a="1"/>
  <c r="B17" i="1" a="1"/>
  <c r="B17" i="1" s="1"/>
  <c r="I16" i="1" a="1"/>
  <c r="I16" i="1" s="1"/>
  <c r="F16" i="1" a="1"/>
  <c r="F16" i="1" s="1"/>
  <c r="C16" i="1" a="1"/>
  <c r="C16" i="1" s="1"/>
  <c r="B16" i="1"/>
  <c r="B16" i="1" a="1"/>
  <c r="I15" i="1" a="1"/>
  <c r="I15" i="1" s="1"/>
  <c r="J15" i="1" s="1"/>
  <c r="F15" i="1" a="1"/>
  <c r="F15" i="1" s="1"/>
  <c r="C15" i="1"/>
  <c r="E15" i="1" s="1"/>
  <c r="C15" i="1" a="1"/>
  <c r="B15" i="1" a="1"/>
  <c r="B15" i="1" s="1"/>
  <c r="I14" i="1" a="1"/>
  <c r="I14" i="1" s="1"/>
  <c r="F14" i="1" a="1"/>
  <c r="F14" i="1" s="1"/>
  <c r="C14" i="1" a="1"/>
  <c r="C14" i="1" s="1"/>
  <c r="B14" i="1"/>
  <c r="B14" i="1" a="1"/>
  <c r="N13" i="1"/>
  <c r="M13" i="1"/>
  <c r="I13" i="1" a="1"/>
  <c r="I13" i="1" s="1"/>
  <c r="F13" i="1" a="1"/>
  <c r="F13" i="1" s="1"/>
  <c r="C13" i="1" a="1"/>
  <c r="C13" i="1" s="1"/>
  <c r="B13" i="1"/>
  <c r="B13" i="1" a="1"/>
  <c r="N12" i="1"/>
  <c r="M12" i="1"/>
  <c r="I12" i="1" a="1"/>
  <c r="I12" i="1" s="1"/>
  <c r="F12" i="1" a="1"/>
  <c r="F12" i="1" s="1"/>
  <c r="C12" i="1"/>
  <c r="E12" i="1" s="1"/>
  <c r="C12" i="1" a="1"/>
  <c r="B12" i="1" a="1"/>
  <c r="B12" i="1" s="1"/>
  <c r="O11" i="1"/>
  <c r="E11" i="1" s="1"/>
  <c r="N11" i="1"/>
  <c r="M11" i="1"/>
  <c r="I11" i="1" a="1"/>
  <c r="I11" i="1" s="1"/>
  <c r="F11" i="1" a="1"/>
  <c r="F11" i="1" s="1"/>
  <c r="D11" i="1"/>
  <c r="C11" i="1"/>
  <c r="C23" i="1" s="1"/>
  <c r="C11" i="1" a="1"/>
  <c r="B11" i="1" a="1"/>
  <c r="B11" i="1" s="1"/>
  <c r="N6" i="1"/>
  <c r="O13" i="1" s="1"/>
  <c r="N5" i="1"/>
  <c r="O12" i="1" s="1"/>
  <c r="N4" i="1"/>
  <c r="J11" i="1" l="1"/>
  <c r="K17" i="1"/>
  <c r="J12" i="1"/>
  <c r="H19" i="1"/>
  <c r="H11" i="1"/>
  <c r="G11" i="1"/>
  <c r="L11" i="1" s="1"/>
  <c r="H17" i="1"/>
  <c r="H12" i="1"/>
  <c r="H21" i="1"/>
  <c r="H15" i="1"/>
  <c r="K11" i="1"/>
  <c r="E16" i="1"/>
  <c r="D16" i="1"/>
  <c r="E20" i="1"/>
  <c r="D20" i="1"/>
  <c r="H20" i="1"/>
  <c r="G20" i="1"/>
  <c r="K21" i="1"/>
  <c r="K16" i="1"/>
  <c r="J16" i="1"/>
  <c r="K20" i="1"/>
  <c r="J20" i="1"/>
  <c r="K13" i="1"/>
  <c r="J13" i="1"/>
  <c r="H16" i="1"/>
  <c r="G16" i="1"/>
  <c r="I23" i="1"/>
  <c r="D14" i="1"/>
  <c r="E14" i="1"/>
  <c r="E18" i="1"/>
  <c r="D18" i="1"/>
  <c r="E22" i="1"/>
  <c r="D22" i="1"/>
  <c r="E13" i="1"/>
  <c r="E23" i="1" s="1"/>
  <c r="D13" i="1"/>
  <c r="H14" i="1"/>
  <c r="G14" i="1"/>
  <c r="H18" i="1"/>
  <c r="G18" i="1"/>
  <c r="K19" i="1"/>
  <c r="H22" i="1"/>
  <c r="G22" i="1"/>
  <c r="F23" i="1"/>
  <c r="H13" i="1"/>
  <c r="G13" i="1"/>
  <c r="K14" i="1"/>
  <c r="J14" i="1"/>
  <c r="K18" i="1"/>
  <c r="J18" i="1"/>
  <c r="K22" i="1"/>
  <c r="J22" i="1"/>
  <c r="G12" i="1"/>
  <c r="G15" i="1"/>
  <c r="L15" i="1" s="1"/>
  <c r="D17" i="1"/>
  <c r="J17" i="1"/>
  <c r="G19" i="1"/>
  <c r="L19" i="1" s="1"/>
  <c r="D21" i="1"/>
  <c r="J21" i="1"/>
  <c r="D12" i="1"/>
  <c r="D23" i="1" s="1"/>
  <c r="D15" i="1"/>
  <c r="G17" i="1"/>
  <c r="D19" i="1"/>
  <c r="J19" i="1"/>
  <c r="G21" i="1"/>
  <c r="K12" i="1"/>
  <c r="K15" i="1"/>
  <c r="L16" i="1" l="1"/>
  <c r="L17" i="1"/>
  <c r="L14" i="1"/>
  <c r="J23" i="1"/>
  <c r="N15" i="1"/>
  <c r="L22" i="1" s="1"/>
  <c r="G23" i="1"/>
  <c r="L12" i="1"/>
  <c r="L13" i="1"/>
  <c r="H23" i="1"/>
  <c r="K23" i="1"/>
  <c r="L18" i="1"/>
  <c r="L21" i="1" l="1"/>
  <c r="L20" i="1"/>
  <c r="L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<sst xmlns="http://schemas.openxmlformats.org/spreadsheetml/2006/main" count="31" uniqueCount="31">
  <si>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</si>
  <si>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</si>
  <si>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</si>
  <si>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</si>
  <si>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</si>
  <si>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</si>
  <si>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</si>
  <si>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</si>
  <si>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</si>
  <si>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</si>
  <si>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</si>
  <si>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</si>
  <si>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</si>
  <si>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</t>
  </si>
  <si>
    <t>Сезонность по годам</t>
  </si>
  <si>
    <t>Месяц</t>
  </si>
  <si>
    <t>Продажи 2024</t>
  </si>
  <si>
    <t>Коэф. сезонности</t>
  </si>
  <si>
    <t>Доля в году</t>
  </si>
  <si>
    <t>Продажи 2025</t>
  </si>
  <si>
    <t>Коэф. сезонности 2025</t>
  </si>
  <si>
    <t>Доля в году 2025</t>
  </si>
  <si>
    <t>Продажи 2026</t>
  </si>
  <si>
    <t>Коэф. сезонности 2026</t>
  </si>
  <si>
    <t>Доля в году 2026</t>
  </si>
  <si>
    <t>Год</t>
  </si>
  <si>
    <t>Среднемес.</t>
  </si>
  <si>
    <t>Итого за год</t>
  </si>
  <si>
    <t>Итого</t>
  </si>
  <si>
    <t>СЕЗОННОСТЬ</t>
  </si>
  <si>
    <t>Поправка 2026/2025 (янв-сен)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</si>
</sst>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5" x14ac:knownFonts="1">
    <font>
      <sz val="8"/>
      <name val="Arial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8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4" fontId="4" fillId="2" borderId="1" xfId="1" applyNumberFormat="1" applyFont="1" applyFill="1" applyBorder="1" applyAlignment="1">
      <alignment horizontal="right" vertical="top"/>
    </xf>
    <xf numFmtId="0" fontId="2" fillId="3" borderId="0" xfId="0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4" borderId="0" xfId="0" applyFont="1" applyFill="1"/>
    <xf numFmtId="2" fontId="2" fillId="5" borderId="0" xfId="0" applyNumberFormat="1" applyFont="1" applyFill="1" applyAlignment="1">
      <alignment horizontal="center"/>
    </xf>
    <xf numFmtId="0" fontId="4" fillId="2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Лист1" xfId="1" xr:uid="{A44D88B7-DDDF-4A1A-976E-106D8759A1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1B7E1F-A38D-4100-B3E8-DC6BBD1328BA}">
  <we:reference id="wa200010725" version="1.0.0.1" store="ru-RU" storeType="OMEX"/>
  <we:alternateReferences>
    <we:reference id="WA200010725" version="1.0.0.1" store="WA200010725" storeType="OMEX"/>
  </we:alternateReferences>
  <we:properties>
    <we:property name="claude.fileId" value="&quot;3db740fb-3161-4ae8-a981-4c0b6138465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582D-AC88-44B0-8CEA-0F362673C55C}">
  <dimension ref="A1:O35"/>
  <sheetViews>
    <sheetView tabSelected="1" workbookViewId="0">
      <selection activeCell="L5" sqref="L5"/>
    </sheetView>
  </sheetViews>
  <sheetFormatPr defaultRowHeight="10.199999999999999" x14ac:dyDescent="0.2"/>
  <cols>
    <col min="1" max="1" width="14.140625" customWidth="1"/>
    <col min="2" max="2" width="18.28515625" customWidth="1"/>
    <col min="3" max="3" width="24.28515625" customWidth="1"/>
    <col min="4" max="4" width="17.7109375" customWidth="1"/>
    <col min="5" max="5" width="16.7109375" customWidth="1"/>
    <col min="6" max="6" width="22.140625" customWidth="1"/>
    <col min="7" max="7" width="14.7109375" customWidth="1"/>
    <col min="8" max="8" width="21.42578125" customWidth="1"/>
    <col min="9" max="9" width="15" customWidth="1"/>
    <col min="10" max="10" width="15.42578125" customWidth="1"/>
    <col min="11" max="11" width="16.7109375" customWidth="1"/>
    <col min="12" max="12" width="14.7109375" customWidth="1"/>
    <col min="13" max="13" width="19.42578125" customWidth="1"/>
    <col min="14" max="14" width="21.85546875" customWidth="1"/>
    <col min="15" max="15" width="44.85546875" customWidth="1"/>
  </cols>
  <sheetData>
    <row r="1" spans="1:15" ht="13.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3.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3.8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1"/>
    </row>
    <row r="4" spans="1:15" ht="13.8" x14ac:dyDescent="0.3">
      <c r="A4" s="1">
        <v>2024</v>
      </c>
      <c r="B4" s="3">
        <v>24596427</v>
      </c>
      <c r="C4" s="3">
        <v>22395512</v>
      </c>
      <c r="D4" s="3">
        <v>44147660</v>
      </c>
      <c r="E4" s="3">
        <v>62276496.32</v>
      </c>
      <c r="F4" s="3">
        <v>73462110</v>
      </c>
      <c r="G4" s="15">
        <v>68345412</v>
      </c>
      <c r="H4" s="3">
        <v>71289315.980000004</v>
      </c>
      <c r="I4" s="15">
        <v>91399515.640000001</v>
      </c>
      <c r="J4" s="15">
        <v>99082123</v>
      </c>
      <c r="K4" s="3">
        <v>88432469</v>
      </c>
      <c r="L4" s="15">
        <v>82883679</v>
      </c>
      <c r="M4" s="3">
        <v>65881945</v>
      </c>
      <c r="N4" s="1">
        <f>SUM(B4:M4)</f>
        <v>794192664.94000006</v>
      </c>
      <c r="O4" s="1"/>
    </row>
    <row r="5" spans="1:15" ht="13.8" x14ac:dyDescent="0.3">
      <c r="A5" s="1">
        <v>2025</v>
      </c>
      <c r="B5" s="3">
        <v>60612221</v>
      </c>
      <c r="C5" s="3">
        <v>70526214</v>
      </c>
      <c r="D5" s="3">
        <v>62394638.899999999</v>
      </c>
      <c r="E5" s="3">
        <v>80289436.030000001</v>
      </c>
      <c r="F5" s="3">
        <v>77227054</v>
      </c>
      <c r="G5" s="15">
        <v>80386586</v>
      </c>
      <c r="H5" s="3">
        <v>79580845.349999994</v>
      </c>
      <c r="I5" s="15">
        <v>85147826.950000003</v>
      </c>
      <c r="J5" s="15">
        <v>75393744</v>
      </c>
      <c r="K5" s="3">
        <v>70827551</v>
      </c>
      <c r="L5" s="15">
        <v>72949510</v>
      </c>
      <c r="M5" s="3">
        <v>71608529.439999998</v>
      </c>
      <c r="N5" s="1">
        <f>SUM(B5:M5)</f>
        <v>886944156.67000008</v>
      </c>
      <c r="O5" s="1"/>
    </row>
    <row r="6" spans="1:15" ht="13.8" x14ac:dyDescent="0.3">
      <c r="A6" s="1">
        <v>2026</v>
      </c>
      <c r="B6" s="3">
        <v>51463402</v>
      </c>
      <c r="C6" s="3">
        <v>57127585</v>
      </c>
      <c r="D6" s="3">
        <v>49906664.43</v>
      </c>
      <c r="E6" s="3">
        <v>61255146</v>
      </c>
      <c r="F6" s="3">
        <v>59215517</v>
      </c>
      <c r="G6" s="15">
        <v>68110627</v>
      </c>
      <c r="H6" s="3">
        <v>72110849.170000002</v>
      </c>
      <c r="I6" s="15">
        <v>70105174.180000007</v>
      </c>
      <c r="J6" s="15">
        <v>45371784.460000001</v>
      </c>
      <c r="K6" s="1"/>
      <c r="L6" s="1"/>
      <c r="M6" s="1"/>
      <c r="N6" s="1">
        <f>SUM(B6:M6)</f>
        <v>534666749.24000001</v>
      </c>
      <c r="O6" s="1"/>
    </row>
    <row r="7" spans="1:15" ht="13.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3.8" x14ac:dyDescent="0.3">
      <c r="A8" s="1"/>
      <c r="B8" s="2" t="s">
        <v>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3.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3.8" x14ac:dyDescent="0.3">
      <c r="A10" s="1"/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22</v>
      </c>
      <c r="J10" s="4" t="s">
        <v>23</v>
      </c>
      <c r="K10" s="4" t="s">
        <v>24</v>
      </c>
      <c r="L10" s="13" t="s">
        <v>29</v>
      </c>
      <c r="M10" s="4" t="s">
        <v>25</v>
      </c>
      <c r="N10" s="4" t="s">
        <v>26</v>
      </c>
      <c r="O10" s="4" t="s">
        <v>27</v>
      </c>
    </row>
    <row r="11" spans="1:15" ht="13.8" x14ac:dyDescent="0.3">
      <c r="A11" s="1"/>
      <c r="B11" s="1" t="str" cm="1">
        <f t="array" ref="B11">INDEX($B$3:$M$3,ROW()-10)</f>
        <v>янв</v>
      </c>
      <c r="C11" s="5" cm="1">
        <f t="array" ref="C11">INDEX($B$4:$M$4,ROW()-10)</f>
        <v>24596427</v>
      </c>
      <c r="D11" s="6">
        <f>IFERROR(C11/$N$11,"")</f>
        <v>0.37164423323186774</v>
      </c>
      <c r="E11" s="7">
        <f>IFERROR(C11/$O$11,"")</f>
        <v>3.0970352769322314E-2</v>
      </c>
      <c r="F11" s="5" cm="1">
        <f t="array" ref="F11">INDEX($B$5:$M$5,ROW()-10)</f>
        <v>60612221</v>
      </c>
      <c r="G11" s="6">
        <f>IFERROR(F11/$N$12,"")</f>
        <v>0.82005912833429884</v>
      </c>
      <c r="H11" s="7">
        <f>IFERROR(F11/$O$12,"")</f>
        <v>6.8338260694524894E-2</v>
      </c>
      <c r="I11" s="5" cm="1">
        <f t="array" ref="I11">INDEX($B$6:$M$6,ROW()-10)</f>
        <v>51463402</v>
      </c>
      <c r="J11" s="6">
        <f>IFERROR(I11/$N$13,"")</f>
        <v>0.86627907693600192</v>
      </c>
      <c r="K11" s="7">
        <f>IFERROR(I11/$O$13,"")</f>
        <v>9.6253230770666873E-2</v>
      </c>
      <c r="L11" s="14">
        <f t="shared" ref="L11:L19" si="0">AVERAGE(G11,J11)</f>
        <v>0.84316910263515044</v>
      </c>
      <c r="M11" s="8">
        <f>$A$4</f>
        <v>2024</v>
      </c>
      <c r="N11" s="9">
        <f>IFERROR(AVERAGE($B$4:$M$4),"")</f>
        <v>66182722.078333341</v>
      </c>
      <c r="O11" s="5">
        <f>$N$4</f>
        <v>794192664.94000006</v>
      </c>
    </row>
    <row r="12" spans="1:15" ht="13.8" x14ac:dyDescent="0.3">
      <c r="A12" s="1"/>
      <c r="B12" s="1" t="str" cm="1">
        <f t="array" ref="B12">INDEX($B$3:$M$3,ROW()-10)</f>
        <v>фев</v>
      </c>
      <c r="C12" s="5" cm="1">
        <f t="array" ref="C12">INDEX($B$4:$M$4,ROW()-10)</f>
        <v>22395512</v>
      </c>
      <c r="D12" s="6">
        <f t="shared" ref="D12:D22" si="1">IFERROR(C12/$N$11,"")</f>
        <v>0.33838910363180363</v>
      </c>
      <c r="E12" s="7">
        <f t="shared" ref="E12:E22" si="2">IFERROR(C12/$O$11,"")</f>
        <v>2.8199091969316973E-2</v>
      </c>
      <c r="F12" s="5" cm="1">
        <f t="array" ref="F12">INDEX($B$5:$M$5,ROW()-10)</f>
        <v>70526214</v>
      </c>
      <c r="G12" s="6">
        <f t="shared" ref="G12:G22" si="3">IFERROR(F12/$N$12,"")</f>
        <v>0.9541914918042389</v>
      </c>
      <c r="H12" s="7">
        <f t="shared" ref="H12:H22" si="4">IFERROR(F12/$O$12,"")</f>
        <v>7.9515957650353242E-2</v>
      </c>
      <c r="I12" s="5" cm="1">
        <f t="array" ref="I12">INDEX($B$6:$M$6,ROW()-10)</f>
        <v>57127585</v>
      </c>
      <c r="J12" s="6">
        <f t="shared" ref="J12:J22" si="5">IFERROR(I12/$N$13,"")</f>
        <v>0.96162378852029617</v>
      </c>
      <c r="K12" s="7">
        <f t="shared" ref="K12:K22" si="6">IFERROR(I12/$O$13,"")</f>
        <v>0.10684708761336624</v>
      </c>
      <c r="L12" s="14">
        <f t="shared" si="0"/>
        <v>0.95790764016226748</v>
      </c>
      <c r="M12" s="8">
        <f>$A$5</f>
        <v>2025</v>
      </c>
      <c r="N12" s="9">
        <f>IFERROR(AVERAGE($B$5:$M$5),"")</f>
        <v>73912013.05583334</v>
      </c>
      <c r="O12" s="5">
        <f>$N$5</f>
        <v>886944156.67000008</v>
      </c>
    </row>
    <row r="13" spans="1:15" ht="13.8" x14ac:dyDescent="0.3">
      <c r="A13" s="1"/>
      <c r="B13" s="1" t="str" cm="1">
        <f t="array" ref="B13">INDEX($B$3:$M$3,ROW()-10)</f>
        <v>мар</v>
      </c>
      <c r="C13" s="5" cm="1">
        <f t="array" ref="C13">INDEX($B$4:$M$4,ROW()-10)</f>
        <v>44147660</v>
      </c>
      <c r="D13" s="6">
        <f t="shared" si="1"/>
        <v>0.66705718069056119</v>
      </c>
      <c r="E13" s="7">
        <f t="shared" si="2"/>
        <v>5.5588098390880109E-2</v>
      </c>
      <c r="F13" s="5" cm="1">
        <f t="array" ref="F13">INDEX($B$5:$M$5,ROW()-10)</f>
        <v>62394638.899999999</v>
      </c>
      <c r="G13" s="6">
        <f t="shared" si="3"/>
        <v>0.84417453023322364</v>
      </c>
      <c r="H13" s="7">
        <f t="shared" si="4"/>
        <v>7.0347877519435303E-2</v>
      </c>
      <c r="I13" s="5" cm="1">
        <f t="array" ref="I13">INDEX($B$6:$M$6,ROW()-10)</f>
        <v>49906664.43</v>
      </c>
      <c r="J13" s="6">
        <f t="shared" si="5"/>
        <v>0.84007464557774858</v>
      </c>
      <c r="K13" s="7">
        <f t="shared" si="6"/>
        <v>9.3341627286416512E-2</v>
      </c>
      <c r="L13" s="14">
        <f t="shared" si="0"/>
        <v>0.84212458790548617</v>
      </c>
      <c r="M13" s="8">
        <f>$A$6</f>
        <v>2026</v>
      </c>
      <c r="N13" s="9">
        <f>IFERROR(AVERAGE($B$6:$M$6),"")</f>
        <v>59407416.582222223</v>
      </c>
      <c r="O13" s="5">
        <f>$N$6</f>
        <v>534666749.24000001</v>
      </c>
    </row>
    <row r="14" spans="1:15" ht="13.8" x14ac:dyDescent="0.3">
      <c r="A14" s="1"/>
      <c r="B14" s="1" t="str" cm="1">
        <f t="array" ref="B14">INDEX($B$3:$M$3,ROW()-10)</f>
        <v>апр</v>
      </c>
      <c r="C14" s="5" cm="1">
        <f t="array" ref="C14">INDEX($B$4:$M$4,ROW()-10)</f>
        <v>62276496.32</v>
      </c>
      <c r="D14" s="6">
        <f t="shared" si="1"/>
        <v>0.94097816415423408</v>
      </c>
      <c r="E14" s="7">
        <f t="shared" si="2"/>
        <v>7.841484701285284E-2</v>
      </c>
      <c r="F14" s="5" cm="1">
        <f t="array" ref="F14">INDEX($B$5:$M$5,ROW()-10)</f>
        <v>80289436.030000001</v>
      </c>
      <c r="G14" s="6">
        <f t="shared" si="3"/>
        <v>1.0862839843010248</v>
      </c>
      <c r="H14" s="7">
        <f t="shared" si="4"/>
        <v>9.0523665358418728E-2</v>
      </c>
      <c r="I14" s="5" cm="1">
        <f t="array" ref="I14">INDEX($B$6:$M$6,ROW()-10)</f>
        <v>61255146</v>
      </c>
      <c r="J14" s="6">
        <f t="shared" si="5"/>
        <v>1.0311026724284575</v>
      </c>
      <c r="K14" s="7">
        <f t="shared" si="6"/>
        <v>0.11456696360316196</v>
      </c>
      <c r="L14" s="14">
        <f t="shared" si="0"/>
        <v>1.0586933283647411</v>
      </c>
      <c r="M14" s="1"/>
      <c r="N14" s="1"/>
      <c r="O14" s="1"/>
    </row>
    <row r="15" spans="1:15" ht="13.8" x14ac:dyDescent="0.3">
      <c r="A15" s="1"/>
      <c r="B15" s="1" t="str" cm="1">
        <f t="array" ref="B15">INDEX($B$3:$M$3,ROW()-10)</f>
        <v>май</v>
      </c>
      <c r="C15" s="5" cm="1">
        <f t="array" ref="C15">INDEX($B$4:$M$4,ROW()-10)</f>
        <v>73462110</v>
      </c>
      <c r="D15" s="6">
        <f t="shared" si="1"/>
        <v>1.1099892493550028</v>
      </c>
      <c r="E15" s="7">
        <f t="shared" si="2"/>
        <v>9.2499104112916911E-2</v>
      </c>
      <c r="F15" s="5" cm="1">
        <f t="array" ref="F15">INDEX($B$5:$M$5,ROW()-10)</f>
        <v>77227054</v>
      </c>
      <c r="G15" s="6">
        <f t="shared" si="3"/>
        <v>1.0448511792211974</v>
      </c>
      <c r="H15" s="7">
        <f t="shared" si="4"/>
        <v>8.7070931601766446E-2</v>
      </c>
      <c r="I15" s="5" cm="1">
        <f t="array" ref="I15">INDEX($B$6:$M$6,ROW()-10)</f>
        <v>59215517</v>
      </c>
      <c r="J15" s="6">
        <f t="shared" si="5"/>
        <v>0.99676977062356131</v>
      </c>
      <c r="K15" s="7">
        <f t="shared" si="6"/>
        <v>0.11075219673595126</v>
      </c>
      <c r="L15" s="14">
        <f t="shared" si="0"/>
        <v>1.0208104749223794</v>
      </c>
      <c r="M15" s="1" t="s">
        <v>30</v>
      </c>
      <c r="N15" s="8">
        <f>AVERAGE(J11:J19)/AVERAGE(G11:G19)</f>
        <v>0.99054371569831945</v>
      </c>
      <c r="O15" s="1"/>
    </row>
    <row r="16" spans="1:15" ht="13.8" x14ac:dyDescent="0.3">
      <c r="A16" s="1"/>
      <c r="B16" s="1" t="str" cm="1">
        <f t="array" ref="B16">INDEX($B$3:$M$3,ROW()-10)</f>
        <v>июн</v>
      </c>
      <c r="C16" s="5" cm="1">
        <f t="array" ref="C16">INDEX($B$4:$M$4,ROW()-10)</f>
        <v>68345412</v>
      </c>
      <c r="D16" s="6">
        <f t="shared" si="1"/>
        <v>1.0326775607553118</v>
      </c>
      <c r="E16" s="7">
        <f t="shared" si="2"/>
        <v>8.6056463396275998E-2</v>
      </c>
      <c r="F16" s="5" cm="1">
        <f t="array" ref="F16">INDEX($B$5:$M$5,ROW()-10)</f>
        <v>80386586</v>
      </c>
      <c r="G16" s="6">
        <f t="shared" si="3"/>
        <v>1.08759838457215</v>
      </c>
      <c r="H16" s="7">
        <f t="shared" si="4"/>
        <v>9.0633198714345831E-2</v>
      </c>
      <c r="I16" s="5" cm="1">
        <f t="array" ref="I16">INDEX($B$6:$M$6,ROW()-10)</f>
        <v>68110627</v>
      </c>
      <c r="J16" s="6">
        <f t="shared" si="5"/>
        <v>1.1465004021127931</v>
      </c>
      <c r="K16" s="7">
        <f t="shared" si="6"/>
        <v>0.12738893356808814</v>
      </c>
      <c r="L16" s="14">
        <f t="shared" si="0"/>
        <v>1.1170493933424717</v>
      </c>
      <c r="M16" s="1"/>
      <c r="N16" s="1"/>
      <c r="O16" s="1"/>
    </row>
    <row r="17" spans="1:15" ht="13.8" x14ac:dyDescent="0.3">
      <c r="A17" s="1"/>
      <c r="B17" s="1" t="str" cm="1">
        <f t="array" ref="B17">INDEX($B$3:$M$3,ROW()-10)</f>
        <v>июл</v>
      </c>
      <c r="C17" s="5" cm="1">
        <f t="array" ref="C17">INDEX($B$4:$M$4,ROW()-10)</f>
        <v>71289315.980000004</v>
      </c>
      <c r="D17" s="6">
        <f t="shared" si="1"/>
        <v>1.0771590188693438</v>
      </c>
      <c r="E17" s="7">
        <f t="shared" si="2"/>
        <v>8.9763251572445329E-2</v>
      </c>
      <c r="F17" s="5" cm="1">
        <f t="array" ref="F17">INDEX($B$5:$M$5,ROW()-10)</f>
        <v>79580845.349999994</v>
      </c>
      <c r="G17" s="6">
        <f t="shared" si="3"/>
        <v>1.0766970355669301</v>
      </c>
      <c r="H17" s="7">
        <f t="shared" si="4"/>
        <v>8.9724752963910845E-2</v>
      </c>
      <c r="I17" s="5" cm="1">
        <f t="array" ref="I17">INDEX($B$6:$M$6,ROW()-10)</f>
        <v>72110849.170000002</v>
      </c>
      <c r="J17" s="6">
        <f t="shared" si="5"/>
        <v>1.2138358023058573</v>
      </c>
      <c r="K17" s="7">
        <f t="shared" si="6"/>
        <v>0.1348706447006508</v>
      </c>
      <c r="L17" s="14">
        <f t="shared" si="0"/>
        <v>1.1452664189363937</v>
      </c>
      <c r="M17" s="1"/>
      <c r="N17" s="1"/>
      <c r="O17" s="1"/>
    </row>
    <row r="18" spans="1:15" ht="13.8" x14ac:dyDescent="0.3">
      <c r="A18" s="1"/>
      <c r="B18" s="1" t="str" cm="1">
        <f t="array" ref="B18">INDEX($B$3:$M$3,ROW()-10)</f>
        <v>авг</v>
      </c>
      <c r="C18" s="5" cm="1">
        <f t="array" ref="C18">INDEX($B$4:$M$4,ROW()-10)</f>
        <v>91399515.640000001</v>
      </c>
      <c r="D18" s="6">
        <f t="shared" si="1"/>
        <v>1.3810177757847473</v>
      </c>
      <c r="E18" s="7">
        <f t="shared" si="2"/>
        <v>0.11508481464872895</v>
      </c>
      <c r="F18" s="5" cm="1">
        <f t="array" ref="F18">INDEX($B$5:$M$5,ROW()-10)</f>
        <v>85147826.950000003</v>
      </c>
      <c r="G18" s="6">
        <f t="shared" si="3"/>
        <v>1.1520160719432591</v>
      </c>
      <c r="H18" s="7">
        <f t="shared" si="4"/>
        <v>9.6001339328604926E-2</v>
      </c>
      <c r="I18" s="5" cm="1">
        <f t="array" ref="I18">INDEX($B$6:$M$6,ROW()-10)</f>
        <v>70105174.180000007</v>
      </c>
      <c r="J18" s="6">
        <f t="shared" si="5"/>
        <v>1.1800744454688021</v>
      </c>
      <c r="K18" s="7">
        <f t="shared" si="6"/>
        <v>0.1311193828298669</v>
      </c>
      <c r="L18" s="14">
        <f t="shared" si="0"/>
        <v>1.1660452587060306</v>
      </c>
      <c r="M18" s="1"/>
      <c r="N18" s="1"/>
      <c r="O18" s="1"/>
    </row>
    <row r="19" spans="1:15" ht="13.8" x14ac:dyDescent="0.3">
      <c r="A19" s="1"/>
      <c r="B19" s="1" t="str" cm="1">
        <f t="array" ref="B19">INDEX($B$3:$M$3,ROW()-10)</f>
        <v>сен</v>
      </c>
      <c r="C19" s="5" cm="1">
        <f t="array" ref="C19">INDEX($B$4:$M$4,ROW()-10)</f>
        <v>99082123</v>
      </c>
      <c r="D19" s="6">
        <f t="shared" si="1"/>
        <v>1.4970995433328838</v>
      </c>
      <c r="E19" s="7">
        <f t="shared" si="2"/>
        <v>0.12475829527774031</v>
      </c>
      <c r="F19" s="5" cm="1">
        <f t="array" ref="F19">INDEX($B$5:$M$5,ROW()-10)</f>
        <v>75393744</v>
      </c>
      <c r="G19" s="6">
        <f t="shared" si="3"/>
        <v>1.0200472275467232</v>
      </c>
      <c r="H19" s="7">
        <f t="shared" si="4"/>
        <v>8.5003935628893593E-2</v>
      </c>
      <c r="I19" s="5" cm="1">
        <f t="array" ref="I19">INDEX($B$6:$M$6,ROW()-10)</f>
        <v>45371784.460000001</v>
      </c>
      <c r="J19" s="6">
        <f t="shared" si="5"/>
        <v>0.76373939602648178</v>
      </c>
      <c r="K19" s="7">
        <f t="shared" si="6"/>
        <v>8.4859932891831316E-2</v>
      </c>
      <c r="L19" s="14">
        <f t="shared" si="0"/>
        <v>0.89189331178660247</v>
      </c>
      <c r="M19" s="1"/>
      <c r="N19" s="1"/>
      <c r="O19" s="1"/>
    </row>
    <row r="20" spans="1:15" ht="13.8" x14ac:dyDescent="0.3">
      <c r="A20" s="1"/>
      <c r="B20" s="1" t="str" cm="1">
        <f t="array" ref="B20">INDEX($B$3:$M$3,ROW()-10)</f>
        <v>окт</v>
      </c>
      <c r="C20" s="5" cm="1">
        <f t="array" ref="C20">INDEX($B$4:$M$4,ROW()-10)</f>
        <v>88432469</v>
      </c>
      <c r="D20" s="6">
        <f t="shared" si="1"/>
        <v>1.3361866393970927</v>
      </c>
      <c r="E20" s="7">
        <f t="shared" si="2"/>
        <v>0.11134888661642441</v>
      </c>
      <c r="F20" s="5" cm="1">
        <f t="array" ref="F20">INDEX($B$5:$M$5,ROW()-10)</f>
        <v>70827551</v>
      </c>
      <c r="G20" s="6">
        <f t="shared" si="3"/>
        <v>0.95826846099424556</v>
      </c>
      <c r="H20" s="7">
        <f t="shared" si="4"/>
        <v>7.9855705082853792E-2</v>
      </c>
      <c r="I20" s="5" cm="1">
        <f t="array" ref="I20">INDEX($B$6:$M$6,ROW()-10)</f>
        <v>0</v>
      </c>
      <c r="J20" s="6">
        <f t="shared" si="5"/>
        <v>0</v>
      </c>
      <c r="K20" s="7">
        <f t="shared" si="6"/>
        <v>0</v>
      </c>
      <c r="L20" s="14">
        <f>AVERAGE(G20,G20*$N$15)</f>
        <v>0.95373763149199786</v>
      </c>
      <c r="M20" s="1"/>
      <c r="N20" s="1"/>
      <c r="O20" s="1"/>
    </row>
    <row r="21" spans="1:15" ht="13.8" x14ac:dyDescent="0.3">
      <c r="A21" s="1"/>
      <c r="B21" s="1" t="str" cm="1">
        <f t="array" ref="B21">INDEX($B$3:$M$3,ROW()-10)</f>
        <v>ноя</v>
      </c>
      <c r="C21" s="5" cm="1">
        <f t="array" ref="C21">INDEX($B$4:$M$4,ROW()-10)</f>
        <v>82883679</v>
      </c>
      <c r="D21" s="6">
        <f t="shared" si="1"/>
        <v>1.2523461773285713</v>
      </c>
      <c r="E21" s="7">
        <f t="shared" si="2"/>
        <v>0.10436218144404762</v>
      </c>
      <c r="F21" s="5" cm="1">
        <f t="array" ref="F21">INDEX($B$5:$M$5,ROW()-10)</f>
        <v>72949510</v>
      </c>
      <c r="G21" s="6">
        <f t="shared" si="3"/>
        <v>0.98697771828909242</v>
      </c>
      <c r="H21" s="7">
        <f t="shared" si="4"/>
        <v>8.2248143190757697E-2</v>
      </c>
      <c r="I21" s="5" cm="1">
        <f t="array" ref="I21">INDEX($B$6:$M$6,ROW()-10)</f>
        <v>0</v>
      </c>
      <c r="J21" s="6">
        <f t="shared" si="5"/>
        <v>0</v>
      </c>
      <c r="K21" s="7">
        <f t="shared" si="6"/>
        <v>0</v>
      </c>
      <c r="L21" s="14">
        <f>AVERAGE(G21,G21*$N$15)</f>
        <v>0.98231114733730962</v>
      </c>
      <c r="M21" s="1"/>
      <c r="N21" s="1"/>
      <c r="O21" s="1"/>
    </row>
    <row r="22" spans="1:15" ht="13.8" x14ac:dyDescent="0.3">
      <c r="A22" s="1"/>
      <c r="B22" s="1" t="str" cm="1">
        <f t="array" ref="B22">INDEX($B$3:$M$3,ROW()-10)</f>
        <v>дек</v>
      </c>
      <c r="C22" s="5" cm="1">
        <f t="array" ref="C22">INDEX($B$4:$M$4,ROW()-10)</f>
        <v>65881945</v>
      </c>
      <c r="D22" s="6">
        <f t="shared" si="1"/>
        <v>0.99545535346857839</v>
      </c>
      <c r="E22" s="7">
        <f t="shared" si="2"/>
        <v>8.2954612789048199E-2</v>
      </c>
      <c r="F22" s="5" cm="1">
        <f t="array" ref="F22">INDEX($B$5:$M$5,ROW()-10)</f>
        <v>71608529.439999998</v>
      </c>
      <c r="G22" s="6">
        <f t="shared" si="3"/>
        <v>0.96883478719361515</v>
      </c>
      <c r="H22" s="7">
        <f t="shared" si="4"/>
        <v>8.0736232266134592E-2</v>
      </c>
      <c r="I22" s="5" cm="1">
        <f t="array" ref="I22">INDEX($B$6:$M$6,ROW()-10)</f>
        <v>0</v>
      </c>
      <c r="J22" s="6">
        <f t="shared" si="5"/>
        <v>0</v>
      </c>
      <c r="K22" s="7">
        <f t="shared" si="6"/>
        <v>0</v>
      </c>
      <c r="L22" s="14">
        <f>AVERAGE(G22,G22*$N$15)</f>
        <v>0.96425399859908467</v>
      </c>
      <c r="M22" s="1"/>
      <c r="N22" s="1"/>
      <c r="O22" s="1"/>
    </row>
    <row r="23" spans="1:15" ht="13.8" x14ac:dyDescent="0.3">
      <c r="A23" s="1"/>
      <c r="B23" s="2" t="s">
        <v>28</v>
      </c>
      <c r="C23" s="10">
        <f>SUM(C11:C22)</f>
        <v>794192664.94000006</v>
      </c>
      <c r="D23" s="11">
        <f>AVERAGE(D11:D22)</f>
        <v>1</v>
      </c>
      <c r="E23" s="12">
        <f>SUM(E11:E22)</f>
        <v>1</v>
      </c>
      <c r="F23" s="10">
        <f>SUM(F11:F22)</f>
        <v>886944156.67000008</v>
      </c>
      <c r="G23" s="11">
        <f>IFERROR(AVERAGE(G11:G22),"")</f>
        <v>0.99999999999999967</v>
      </c>
      <c r="H23" s="12">
        <f>SUM(H11:H22)</f>
        <v>0.99999999999999978</v>
      </c>
      <c r="I23" s="10">
        <f>SUM(I11:I22)</f>
        <v>534666749.24000001</v>
      </c>
      <c r="J23" s="11">
        <f>IFERROR(AVERAGE(J11:J22),"")</f>
        <v>0.75</v>
      </c>
      <c r="K23" s="12">
        <f>SUM(K11:K22)</f>
        <v>1</v>
      </c>
      <c r="L23" s="14">
        <f>AVERAGE(L11:L22)</f>
        <v>0.99527185784915984</v>
      </c>
      <c r="M23" s="1"/>
      <c r="N23" s="1"/>
      <c r="O23" s="1"/>
    </row>
    <row r="24" spans="1:15" ht="13.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3.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3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3.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3.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3.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3.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3.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3.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3.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3.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3.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Нурболат Нурғалиев</cp:lastModifiedBy>
  <dcterms:created xsi:type="dcterms:W3CDTF">2026-09-22T11:16:47Z</dcterms:created>
  <dcterms:modified xsi:type="dcterms:W3CDTF">2026-09-23T11:09:17Z</dcterms:modified>
</cp:coreProperties>
</file>